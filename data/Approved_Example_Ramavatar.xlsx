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 tabRatio="500"/>
  </bookViews>
  <sheets>
    <sheet name="proforma" sheetId="1" r:id="rId1"/>
  </sheets>
  <calcPr iterateDelta="1.0E-4"/>
</workbook>
</file>

<file path=xl/sharedStrings.xml><?xml version="1.0" encoding="utf-8"?>
<sst xmlns="http://schemas.openxmlformats.org/spreadsheetml/2006/main" uniqueCount="112" count="112">
  <si>
    <t>WORKING OUT SHEET OF MEDICAL BILL</t>
  </si>
  <si>
    <t>ANNEXURE-A</t>
  </si>
  <si>
    <t>NAME OF CLAIMANT</t>
  </si>
  <si>
    <t>MR. RAMAVATAR S/O SH. BEJ NATH, ANIMAL ATTENDANT</t>
  </si>
  <si>
    <t>BASIC PAY</t>
  </si>
  <si>
    <t xml:space="preserve">RS. </t>
  </si>
  <si>
    <t>NAME OF PATIENT</t>
  </si>
  <si>
    <t>MR. RAMAVATAR</t>
  </si>
  <si>
    <t>RELATION WITH CLAIMANT</t>
  </si>
  <si>
    <t>SELF</t>
  </si>
  <si>
    <t>NAME OF HOSPITAL</t>
  </si>
  <si>
    <t>SAPRA MULTISPECIALITY HOSPITAL HISAR ( NABH ACCREDITED)</t>
  </si>
  <si>
    <t>WHETHER HOSPITAL ON GOVT. PANEL OR NOT</t>
  </si>
  <si>
    <t>YES</t>
  </si>
  <si>
    <t>RATES PERMITTED</t>
  </si>
  <si>
    <t>As per Govt. letter No. 2/56/2014-1HB-III dated  14.7.2020</t>
  </si>
  <si>
    <t>PERIOD OF TREATMENT</t>
  </si>
  <si>
    <t>22.06.2026 TO 26.06.2026</t>
  </si>
  <si>
    <t>SR NO.</t>
  </si>
  <si>
    <t>ITEMS</t>
  </si>
  <si>
    <t>BILL NO/DT.</t>
  </si>
  <si>
    <t>GROSS AMT. OF BILL</t>
  </si>
  <si>
    <t>P.G.I. RATE</t>
  </si>
  <si>
    <t>NOT REIMBUSABLE</t>
  </si>
  <si>
    <t>BALANCE( 4-5-6)</t>
  </si>
  <si>
    <t>75% OF BALANCE</t>
  </si>
  <si>
    <t>TOTAL( 5+8)</t>
  </si>
  <si>
    <t>REMARKS</t>
  </si>
  <si>
    <t>ICU WITH NON INV VENT</t>
  </si>
  <si>
    <t>202606227246/22-06-2026</t>
  </si>
  <si>
    <t>Admissible Rs. 6500/- per day (Full NABH) as per Sr.2 of ICU cost table under Para 3(vi) of Govt. letter dated 14.7.2020</t>
  </si>
  <si>
    <t>202606227246/23-06-2026</t>
  </si>
  <si>
    <t>,,</t>
  </si>
  <si>
    <t>ICU WITHOUT VENT</t>
  </si>
  <si>
    <t>202606227246/24-06-2026</t>
  </si>
  <si>
    <t>Admissible Rs. 3450/- per day (Full NABH) as per Sr.1 of ICU cost table under Para 3(vi) of Govt. letter dated 14.7.2020</t>
  </si>
  <si>
    <t>PVT ROOM BED CHARGE</t>
  </si>
  <si>
    <t>202606227246/25-06-2026</t>
  </si>
  <si>
    <t>202606227246/26-06-2026</t>
  </si>
  <si>
    <t>MEDICINE BILL(H.C.)</t>
  </si>
  <si>
    <t>3672/22-06-2026</t>
  </si>
  <si>
    <t>HIGH COST INJ. - per-injection PGI rate not in schedule provided; excluded from Rs.1750/day cap</t>
  </si>
  <si>
    <t>3673/23-06-2026</t>
  </si>
  <si>
    <t>3674/24-06-2026</t>
  </si>
  <si>
    <t>3675/25-06-2026</t>
  </si>
  <si>
    <t>MEDICINE BILL</t>
  </si>
  <si>
    <t>17415,17313/23-06-2026</t>
  </si>
  <si>
    <t>Medicines and consumables - Rs. 1750/- per day as per Para 4(a)(iii) of above Govt. letter dated 14.07.2020</t>
  </si>
  <si>
    <t>17642,17456/24-06-2026</t>
  </si>
  <si>
    <t>,, (below Rs.1750/day cap, fully allowed)</t>
  </si>
  <si>
    <t>17856,17695/25-06-2026</t>
  </si>
  <si>
    <t>17911,17906/26-06-2026</t>
  </si>
  <si>
    <t>DISCH. MEDICINE BILL</t>
  </si>
  <si>
    <t>18064/26-06-2026</t>
  </si>
  <si>
    <t>TROP T</t>
  </si>
  <si>
    <t>8416/22-06-2026</t>
  </si>
  <si>
    <t>SR NO-676/117</t>
  </si>
  <si>
    <t>ABG WITH ELCTROLYTE</t>
  </si>
  <si>
    <t>SR NO-684/125</t>
  </si>
  <si>
    <t>CHEST XRAY</t>
  </si>
  <si>
    <t>8659/22-06-2026</t>
  </si>
  <si>
    <t>SR NO-860/25</t>
  </si>
  <si>
    <t>USG UPPER ABDOMEN</t>
  </si>
  <si>
    <t>SR NO-843/8</t>
  </si>
  <si>
    <t>USG PELVIS</t>
  </si>
  <si>
    <t>SR NO-844/9</t>
  </si>
  <si>
    <t>2D ECHO</t>
  </si>
  <si>
    <t>SR NO-73</t>
  </si>
  <si>
    <t>CT HEAD</t>
  </si>
  <si>
    <t>SR NO-889/54 (CT Head Without Contrast)</t>
  </si>
  <si>
    <t>PNS PLAIN</t>
  </si>
  <si>
    <t>SR NO-903/68 (CT PNS Without Contrast)</t>
  </si>
  <si>
    <t>CBC</t>
  </si>
  <si>
    <t>8658/22-06-2026</t>
  </si>
  <si>
    <t>SR NO-571/12</t>
  </si>
  <si>
    <t>PTI</t>
  </si>
  <si>
    <t>Assumed = Prothrombin Time, SR NO-669/111 (abbreviation not confirmed; matches previous claim too)</t>
  </si>
  <si>
    <t>PLASMA GLUCOSE RANDOM</t>
  </si>
  <si>
    <t>SR NO-621/62 (Blood Glucose Random)</t>
  </si>
  <si>
    <t>NT PRO BNP</t>
  </si>
  <si>
    <t>PGI RATES +75% OF BALANCE (not in Annexure-I package list)</t>
  </si>
  <si>
    <t>LFT</t>
  </si>
  <si>
    <t>SR NO-690/131 (Liver Function Test)</t>
  </si>
  <si>
    <t>KFT</t>
  </si>
  <si>
    <t>SR NO-689/130</t>
  </si>
  <si>
    <t>ABG WITH ELECTROLYTE</t>
  </si>
  <si>
    <t>DISCOUNT</t>
  </si>
  <si>
    <t>Discount deducted by hospital from bill total</t>
  </si>
  <si>
    <t>8436/23-06-2026</t>
  </si>
  <si>
    <t>CT PULMO ANGIO</t>
  </si>
  <si>
    <t>8437/23-06-2026</t>
  </si>
  <si>
    <t>Assumed = CT Angiography Chest, SR NO-897/62 (match not fully certain)</t>
  </si>
  <si>
    <t>CRP QUANTATIVE</t>
  </si>
  <si>
    <t>8508/23-06-2026</t>
  </si>
  <si>
    <t>SR NO-636/77</t>
  </si>
  <si>
    <t>8612/24-06-2026</t>
  </si>
  <si>
    <t>TLC</t>
  </si>
  <si>
    <t>8702/25-06-2026</t>
  </si>
  <si>
    <t>SR NO-567/8</t>
  </si>
  <si>
    <t>VBG+SERUM ELECTROLYTE</t>
  </si>
  <si>
    <t>Assumed = Blood gas analysis with electrolytes (venous), SR NO-684/125 (match not fully certain)</t>
  </si>
  <si>
    <t>TOTAL</t>
  </si>
  <si>
    <t>Worked out for Rs. ___ only  (PROVISIONAL - several rows still pending; grey cells = uncertain match, please verify)</t>
  </si>
  <si>
    <t>Worked out by</t>
  </si>
  <si>
    <t xml:space="preserve">SR NO-669/111 </t>
  </si>
  <si>
    <t xml:space="preserve">SR NO-897/62 </t>
  </si>
  <si>
    <t>Fully reimbursed upto 7 days</t>
  </si>
  <si>
    <t>PGI RATES +75% OF BALANCE</t>
  </si>
  <si>
    <t xml:space="preserve">SR NO-690/131 </t>
  </si>
  <si>
    <t xml:space="preserve">Worked out for Rs. ___ only  </t>
  </si>
  <si>
    <t>HIGH COST INJ. - per-injection  excluded from Rs.1750/day cap</t>
  </si>
  <si>
    <r>
      <rPr>
        <sz val="10"/>
        <rFont val="Arial"/>
      </rPr>
      <t>Admissible Rs. 4990/- per day (Full NABH) as per Sr.3 of The entitlement for Room Rent for indoor treatment: cost table under Para 2(c) of Govt. letter dated 14.7.2020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</si>
</sst>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Arial"/>
      <b/>
      <charset val="1"/>
      <sz val="13"/>
    </font>
    <font>
      <name val="Arial"/>
      <b/>
      <charset val="1"/>
      <sz val="10"/>
    </font>
    <font>
      <name val="Arial"/>
      <charset val="1"/>
      <sz val="10"/>
    </font>
    <font>
      <name val="Arial"/>
      <sz val="10"/>
    </font>
    <font>
      <name val="Arial"/>
      <i/>
      <charset val="1"/>
      <sz val="10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right" vertical="center"/>
    </xf>
    <xf numFmtId="0" fontId="4" fillId="2" borderId="2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4" borderId="0" xfId="0" applyFill="1">
      <alignment vertical="center"/>
    </xf>
    <xf numFmtId="0" fontId="2" fillId="0" borderId="1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53"/>
  <sheetViews>
    <sheetView tabSelected="1" workbookViewId="0" topLeftCell="F5" zoomScale="73">
      <selection activeCell="H15" sqref="H15:H21"/>
    </sheetView>
  </sheetViews>
  <sheetFormatPr defaultRowHeight="15.0" zeroHeight="1"/>
  <cols>
    <col min="1" max="1" customWidth="1" width="6.0" style="0"/>
    <col min="2" max="2" customWidth="1" width="26.0" style="0"/>
    <col min="3" max="3" customWidth="1" width="20.0" style="0"/>
    <col min="4" max="4" customWidth="1" width="12.0" style="0"/>
    <col min="5" max="5" customWidth="1" width="11.0" style="0"/>
    <col min="6" max="6" customWidth="1" width="13.0" style="0"/>
    <col min="7" max="9" customWidth="1" width="11.0" style="0"/>
    <col min="10" max="10" customWidth="1" width="34.0" style="0"/>
  </cols>
  <sheetData>
    <row r="1" spans="8:8" ht="16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15.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8:8" ht="15.0">
      <c r="A3" s="3" t="s">
        <v>2</v>
      </c>
      <c r="B3" s="3"/>
      <c r="C3" s="3"/>
      <c r="D3" s="4" t="s">
        <v>3</v>
      </c>
      <c r="E3" s="4"/>
      <c r="F3" s="4"/>
      <c r="G3" s="4"/>
      <c r="H3" s="4"/>
      <c r="I3" s="4"/>
      <c r="J3" s="4"/>
    </row>
    <row r="4" spans="8:8" ht="15.0">
      <c r="A4" s="3" t="s">
        <v>4</v>
      </c>
      <c r="B4" s="3"/>
      <c r="C4" s="3"/>
      <c r="D4" s="4" t="s">
        <v>5</v>
      </c>
      <c r="E4" s="4"/>
      <c r="F4" s="4"/>
      <c r="G4" s="4"/>
      <c r="H4" s="4"/>
      <c r="I4" s="4"/>
      <c r="J4" s="4"/>
    </row>
    <row r="5" spans="8:8" ht="15.0">
      <c r="A5" s="3" t="s">
        <v>6</v>
      </c>
      <c r="B5" s="3"/>
      <c r="C5" s="3"/>
      <c r="D5" s="4" t="s">
        <v>7</v>
      </c>
      <c r="E5" s="4"/>
      <c r="F5" s="4"/>
      <c r="G5" s="4"/>
      <c r="H5" s="4"/>
      <c r="I5" s="4"/>
      <c r="J5" s="4"/>
    </row>
    <row r="6" spans="8:8" ht="15.0">
      <c r="A6" s="3" t="s">
        <v>8</v>
      </c>
      <c r="B6" s="3"/>
      <c r="C6" s="3"/>
      <c r="D6" s="4" t="s">
        <v>9</v>
      </c>
      <c r="E6" s="4"/>
      <c r="F6" s="4"/>
      <c r="G6" s="4"/>
      <c r="H6" s="4"/>
      <c r="I6" s="4"/>
      <c r="J6" s="4"/>
    </row>
    <row r="7" spans="8:8" ht="15.0">
      <c r="A7" s="3" t="s">
        <v>10</v>
      </c>
      <c r="B7" s="3"/>
      <c r="C7" s="3"/>
      <c r="D7" s="4" t="s">
        <v>11</v>
      </c>
      <c r="E7" s="4"/>
      <c r="F7" s="4"/>
      <c r="G7" s="4"/>
      <c r="H7" s="4"/>
      <c r="I7" s="4"/>
      <c r="J7" s="4"/>
    </row>
    <row r="8" spans="8:8" ht="15.0">
      <c r="A8" s="3" t="s">
        <v>12</v>
      </c>
      <c r="B8" s="3"/>
      <c r="C8" s="3"/>
      <c r="D8" s="4" t="s">
        <v>13</v>
      </c>
      <c r="E8" s="4"/>
      <c r="F8" s="4"/>
      <c r="G8" s="4"/>
      <c r="H8" s="4"/>
      <c r="I8" s="4"/>
      <c r="J8" s="4"/>
    </row>
    <row r="9" spans="8:8" ht="15.0">
      <c r="A9" s="3" t="s">
        <v>14</v>
      </c>
      <c r="B9" s="3"/>
      <c r="C9" s="3"/>
      <c r="D9" s="4" t="s">
        <v>15</v>
      </c>
      <c r="E9" s="4"/>
      <c r="F9" s="4"/>
      <c r="G9" s="4"/>
      <c r="H9" s="4"/>
      <c r="I9" s="4"/>
      <c r="J9" s="4"/>
    </row>
    <row r="10" spans="8:8" ht="15.0">
      <c r="A10" s="3" t="s">
        <v>16</v>
      </c>
      <c r="B10" s="3"/>
      <c r="C10" s="3"/>
      <c r="D10" s="4" t="s">
        <v>17</v>
      </c>
      <c r="E10" s="4"/>
      <c r="F10" s="4"/>
      <c r="G10" s="4"/>
      <c r="H10" s="4"/>
      <c r="I10" s="4"/>
      <c r="J10" s="4"/>
    </row>
    <row r="11" spans="8:8" ht="35.05">
      <c r="A11" s="5" t="s">
        <v>18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27</v>
      </c>
    </row>
    <row r="12" spans="8:8" ht="15.0">
      <c r="A12" s="6">
        <v>1.0</v>
      </c>
      <c r="B12" s="6">
        <v>2.0</v>
      </c>
      <c r="C12" s="6">
        <v>3.0</v>
      </c>
      <c r="D12" s="6">
        <v>4.0</v>
      </c>
      <c r="E12" s="6">
        <v>5.0</v>
      </c>
      <c r="F12" s="6">
        <v>6.0</v>
      </c>
      <c r="G12" s="6">
        <v>7.0</v>
      </c>
      <c r="H12" s="6">
        <v>8.0</v>
      </c>
      <c r="I12" s="6">
        <v>9.0</v>
      </c>
      <c r="J12" s="6">
        <v>10.0</v>
      </c>
    </row>
    <row r="13" spans="8:8" ht="46.25">
      <c r="A13" s="7">
        <v>1.0</v>
      </c>
      <c r="B13" s="8" t="s">
        <v>28</v>
      </c>
      <c r="C13" s="7" t="s">
        <v>29</v>
      </c>
      <c r="D13" s="9">
        <v>6500.0</v>
      </c>
      <c r="E13" s="9">
        <v>6500.0</v>
      </c>
      <c r="F13" s="9">
        <v>0.0</v>
      </c>
      <c r="G13" s="9">
        <v>0.0</v>
      </c>
      <c r="H13" s="9">
        <v>0.0</v>
      </c>
      <c r="I13" s="9">
        <v>6500.0</v>
      </c>
      <c r="J13" s="10" t="s">
        <v>30</v>
      </c>
    </row>
    <row r="14" spans="8:8" ht="15.0">
      <c r="A14" s="7">
        <v>2.0</v>
      </c>
      <c r="B14" s="8" t="s">
        <v>28</v>
      </c>
      <c r="C14" s="7" t="s">
        <v>31</v>
      </c>
      <c r="D14" s="9">
        <v>6500.0</v>
      </c>
      <c r="E14" s="9">
        <v>6500.0</v>
      </c>
      <c r="F14" s="9">
        <v>0.0</v>
      </c>
      <c r="G14" s="9">
        <v>0.0</v>
      </c>
      <c r="H14" s="9">
        <v>0.0</v>
      </c>
      <c r="I14" s="9">
        <v>6500.0</v>
      </c>
      <c r="J14" s="10" t="s">
        <v>32</v>
      </c>
    </row>
    <row r="15" spans="8:8" ht="46.25">
      <c r="A15" s="7">
        <v>3.0</v>
      </c>
      <c r="B15" s="8" t="s">
        <v>33</v>
      </c>
      <c r="C15" s="7" t="s">
        <v>34</v>
      </c>
      <c r="D15" s="9">
        <v>3450.0</v>
      </c>
      <c r="E15" s="9">
        <v>3450.0</v>
      </c>
      <c r="F15" s="9">
        <v>0.0</v>
      </c>
      <c r="G15" s="9">
        <v>0.0</v>
      </c>
      <c r="H15" s="9">
        <v>0.0</v>
      </c>
      <c r="I15" s="9">
        <v>3450.0</v>
      </c>
      <c r="J15" s="10" t="s">
        <v>35</v>
      </c>
    </row>
    <row r="16" spans="8:8" ht="47.25">
      <c r="A16" s="7">
        <v>4.0</v>
      </c>
      <c r="B16" s="8" t="s">
        <v>36</v>
      </c>
      <c r="C16" s="7" t="s">
        <v>37</v>
      </c>
      <c r="D16" s="9">
        <v>4990.0</v>
      </c>
      <c r="E16" s="9">
        <v>4990.0</v>
      </c>
      <c r="F16" s="11">
        <v>0.0</v>
      </c>
      <c r="G16" s="11">
        <v>0.0</v>
      </c>
      <c r="H16" s="11">
        <v>0.0</v>
      </c>
      <c r="I16" s="9">
        <v>4990.0</v>
      </c>
      <c r="J16" s="12" t="s">
        <v>111</v>
      </c>
    </row>
    <row r="17" spans="8:8" ht="15.0">
      <c r="A17" s="7">
        <v>5.0</v>
      </c>
      <c r="B17" s="8" t="s">
        <v>36</v>
      </c>
      <c r="C17" s="7" t="s">
        <v>38</v>
      </c>
      <c r="D17" s="9">
        <v>4990.0</v>
      </c>
      <c r="E17" s="9">
        <v>4990.0</v>
      </c>
      <c r="F17" s="11">
        <v>0.0</v>
      </c>
      <c r="G17" s="11">
        <v>0.0</v>
      </c>
      <c r="H17" s="11">
        <v>0.0</v>
      </c>
      <c r="I17" s="9">
        <v>4990.0</v>
      </c>
      <c r="J17" s="10" t="s">
        <v>32</v>
      </c>
    </row>
    <row r="18" spans="8:8" ht="24.35">
      <c r="A18" s="7">
        <v>6.0</v>
      </c>
      <c r="B18" s="8" t="s">
        <v>39</v>
      </c>
      <c r="C18" s="7" t="s">
        <v>40</v>
      </c>
      <c r="D18" s="9">
        <v>6000.0</v>
      </c>
      <c r="E18" s="9">
        <v>6000.0</v>
      </c>
      <c r="F18" s="11">
        <v>0.0</v>
      </c>
      <c r="G18" s="11">
        <v>0.0</v>
      </c>
      <c r="H18" s="11">
        <v>0.0</v>
      </c>
      <c r="I18" s="9">
        <v>6000.0</v>
      </c>
      <c r="J18" s="10" t="s">
        <v>110</v>
      </c>
    </row>
    <row r="19" spans="8:8" ht="15.0">
      <c r="A19" s="7">
        <v>7.0</v>
      </c>
      <c r="B19" s="8" t="s">
        <v>39</v>
      </c>
      <c r="C19" s="7" t="s">
        <v>42</v>
      </c>
      <c r="D19" s="9">
        <v>12000.0</v>
      </c>
      <c r="E19" s="9">
        <v>12000.0</v>
      </c>
      <c r="F19" s="11">
        <v>0.0</v>
      </c>
      <c r="G19" s="11">
        <v>0.0</v>
      </c>
      <c r="H19" s="11">
        <v>0.0</v>
      </c>
      <c r="I19" s="9">
        <v>12000.0</v>
      </c>
      <c r="J19" s="10" t="s">
        <v>32</v>
      </c>
    </row>
    <row r="20" spans="8:8" ht="15.0">
      <c r="A20" s="7">
        <v>8.0</v>
      </c>
      <c r="B20" s="8" t="s">
        <v>39</v>
      </c>
      <c r="C20" s="7" t="s">
        <v>43</v>
      </c>
      <c r="D20" s="9">
        <v>12000.0</v>
      </c>
      <c r="E20" s="9">
        <v>12000.0</v>
      </c>
      <c r="F20" s="11">
        <v>0.0</v>
      </c>
      <c r="G20" s="11">
        <v>0.0</v>
      </c>
      <c r="H20" s="11">
        <v>0.0</v>
      </c>
      <c r="I20" s="9">
        <v>12000.0</v>
      </c>
      <c r="J20" s="10" t="s">
        <v>32</v>
      </c>
    </row>
    <row r="21" spans="8:8" ht="15.0">
      <c r="A21" s="7">
        <v>9.0</v>
      </c>
      <c r="B21" s="8" t="s">
        <v>39</v>
      </c>
      <c r="C21" s="7" t="s">
        <v>44</v>
      </c>
      <c r="D21" s="9">
        <v>6000.0</v>
      </c>
      <c r="E21" s="9">
        <v>6000.0</v>
      </c>
      <c r="F21" s="11">
        <v>0.0</v>
      </c>
      <c r="G21" s="11">
        <v>0.0</v>
      </c>
      <c r="H21" s="11">
        <v>0.0</v>
      </c>
      <c r="I21" s="9">
        <v>6000.0</v>
      </c>
      <c r="J21" s="10" t="s">
        <v>32</v>
      </c>
    </row>
    <row r="22" spans="8:8" ht="35.05">
      <c r="A22" s="7">
        <v>10.0</v>
      </c>
      <c r="B22" s="8" t="s">
        <v>45</v>
      </c>
      <c r="C22" s="7" t="s">
        <v>46</v>
      </c>
      <c r="D22" s="9">
        <v>2220.0</v>
      </c>
      <c r="E22" s="9">
        <v>1750.0</v>
      </c>
      <c r="F22" s="9">
        <v>470.0</v>
      </c>
      <c r="G22" s="9">
        <v>0.0</v>
      </c>
      <c r="H22" s="9">
        <v>0.0</v>
      </c>
      <c r="I22" s="9">
        <v>1750.0</v>
      </c>
      <c r="J22" s="10" t="s">
        <v>47</v>
      </c>
    </row>
    <row r="23" spans="8:8" ht="15.0">
      <c r="A23" s="7">
        <v>11.0</v>
      </c>
      <c r="B23" s="8" t="s">
        <v>45</v>
      </c>
      <c r="C23" s="7" t="s">
        <v>48</v>
      </c>
      <c r="D23" s="9">
        <v>1690.0</v>
      </c>
      <c r="E23" s="9">
        <v>1750.0</v>
      </c>
      <c r="F23" s="9">
        <v>0.0</v>
      </c>
      <c r="G23" s="9">
        <v>0.0</v>
      </c>
      <c r="H23" s="9">
        <v>0.0</v>
      </c>
      <c r="I23" s="9">
        <v>1690.0</v>
      </c>
      <c r="J23" s="10" t="s">
        <v>49</v>
      </c>
    </row>
    <row r="24" spans="8:8" ht="15.0">
      <c r="A24" s="7">
        <v>12.0</v>
      </c>
      <c r="B24" s="8" t="s">
        <v>45</v>
      </c>
      <c r="C24" s="7" t="s">
        <v>50</v>
      </c>
      <c r="D24" s="9">
        <v>1740.0</v>
      </c>
      <c r="E24" s="9">
        <v>1750.0</v>
      </c>
      <c r="F24" s="9">
        <v>0.0</v>
      </c>
      <c r="G24" s="9">
        <v>0.0</v>
      </c>
      <c r="H24" s="9">
        <v>0.0</v>
      </c>
      <c r="I24" s="9">
        <v>1740.0</v>
      </c>
      <c r="J24" s="10" t="s">
        <v>49</v>
      </c>
    </row>
    <row r="25" spans="8:8" ht="15.0">
      <c r="A25" s="7">
        <v>13.0</v>
      </c>
      <c r="B25" s="8" t="s">
        <v>45</v>
      </c>
      <c r="C25" s="7" t="s">
        <v>51</v>
      </c>
      <c r="D25" s="9">
        <v>640.0</v>
      </c>
      <c r="E25" s="9">
        <v>1750.0</v>
      </c>
      <c r="F25" s="9">
        <v>0.0</v>
      </c>
      <c r="G25" s="9">
        <v>0.0</v>
      </c>
      <c r="H25" s="9">
        <v>0.0</v>
      </c>
      <c r="I25" s="9">
        <v>640.0</v>
      </c>
      <c r="J25" s="10" t="s">
        <v>49</v>
      </c>
    </row>
    <row r="26" spans="8:8" ht="15.0">
      <c r="A26" s="7">
        <v>14.0</v>
      </c>
      <c r="B26" s="8" t="s">
        <v>52</v>
      </c>
      <c r="C26" s="7" t="s">
        <v>53</v>
      </c>
      <c r="D26" s="9">
        <v>270.0</v>
      </c>
      <c r="E26" s="9">
        <v>270.0</v>
      </c>
      <c r="F26" s="9">
        <v>0.0</v>
      </c>
      <c r="G26" s="9">
        <v>0.0</v>
      </c>
      <c r="H26" s="9">
        <v>0.0</v>
      </c>
      <c r="I26" s="9">
        <v>270.0</v>
      </c>
      <c r="J26" s="10" t="s">
        <v>106</v>
      </c>
    </row>
    <row r="27" spans="8:8" ht="15.0">
      <c r="A27" s="7">
        <v>15.0</v>
      </c>
      <c r="B27" s="8" t="s">
        <v>54</v>
      </c>
      <c r="C27" s="7" t="s">
        <v>55</v>
      </c>
      <c r="D27" s="9">
        <v>900.0</v>
      </c>
      <c r="E27" s="9">
        <v>900.0</v>
      </c>
      <c r="F27" s="9">
        <v>0.0</v>
      </c>
      <c r="G27" s="9">
        <v>0.0</v>
      </c>
      <c r="H27" s="9">
        <v>0.0</v>
      </c>
      <c r="I27" s="9">
        <v>900.0</v>
      </c>
      <c r="J27" s="10" t="s">
        <v>56</v>
      </c>
    </row>
    <row r="28" spans="8:8" ht="15.0">
      <c r="A28" s="7"/>
      <c r="B28" s="8" t="s">
        <v>57</v>
      </c>
      <c r="C28" s="7" t="s">
        <v>32</v>
      </c>
      <c r="D28" s="9">
        <v>700.0</v>
      </c>
      <c r="E28" s="9">
        <v>700.0</v>
      </c>
      <c r="F28" s="9">
        <v>0.0</v>
      </c>
      <c r="G28" s="9">
        <v>0.0</v>
      </c>
      <c r="H28" s="9">
        <v>0.0</v>
      </c>
      <c r="I28" s="9">
        <v>700.0</v>
      </c>
      <c r="J28" s="10" t="s">
        <v>58</v>
      </c>
    </row>
    <row r="29" spans="8:8" ht="15.0">
      <c r="A29" s="7">
        <v>16.0</v>
      </c>
      <c r="B29" s="8" t="s">
        <v>59</v>
      </c>
      <c r="C29" s="7" t="s">
        <v>60</v>
      </c>
      <c r="D29" s="9">
        <v>150.0</v>
      </c>
      <c r="E29" s="9">
        <v>150.0</v>
      </c>
      <c r="F29" s="9">
        <v>0.0</v>
      </c>
      <c r="G29" s="9">
        <v>0.0</v>
      </c>
      <c r="H29" s="9">
        <v>0.0</v>
      </c>
      <c r="I29" s="9">
        <v>150.0</v>
      </c>
      <c r="J29" s="10" t="s">
        <v>61</v>
      </c>
    </row>
    <row r="30" spans="8:8" ht="15.0">
      <c r="A30" s="7"/>
      <c r="B30" s="8" t="s">
        <v>62</v>
      </c>
      <c r="C30" s="7" t="s">
        <v>32</v>
      </c>
      <c r="D30" s="9">
        <v>400.0</v>
      </c>
      <c r="E30" s="9">
        <v>400.0</v>
      </c>
      <c r="F30" s="9">
        <v>0.0</v>
      </c>
      <c r="G30" s="9">
        <v>0.0</v>
      </c>
      <c r="H30" s="9">
        <v>0.0</v>
      </c>
      <c r="I30" s="9">
        <v>400.0</v>
      </c>
      <c r="J30" s="10" t="s">
        <v>63</v>
      </c>
    </row>
    <row r="31" spans="8:8" ht="15.0">
      <c r="A31" s="7"/>
      <c r="B31" s="8" t="s">
        <v>64</v>
      </c>
      <c r="C31" s="7" t="s">
        <v>32</v>
      </c>
      <c r="D31" s="9">
        <v>400.0</v>
      </c>
      <c r="E31" s="9">
        <v>400.0</v>
      </c>
      <c r="F31" s="9">
        <v>0.0</v>
      </c>
      <c r="G31" s="9">
        <v>0.0</v>
      </c>
      <c r="H31" s="9">
        <v>0.0</v>
      </c>
      <c r="I31" s="9">
        <v>400.0</v>
      </c>
      <c r="J31" s="10" t="s">
        <v>65</v>
      </c>
    </row>
    <row r="32" spans="8:8" ht="15.0">
      <c r="A32" s="7"/>
      <c r="B32" s="8" t="s">
        <v>66</v>
      </c>
      <c r="C32" s="7" t="s">
        <v>32</v>
      </c>
      <c r="D32" s="9">
        <v>1500.0</v>
      </c>
      <c r="E32" s="9">
        <v>1500.0</v>
      </c>
      <c r="F32" s="9">
        <v>0.0</v>
      </c>
      <c r="G32" s="9">
        <v>0.0</v>
      </c>
      <c r="H32" s="9">
        <v>0.0</v>
      </c>
      <c r="I32" s="9">
        <v>1500.0</v>
      </c>
      <c r="J32" s="10" t="s">
        <v>67</v>
      </c>
    </row>
    <row r="33" spans="8:8" ht="23.85">
      <c r="A33" s="7"/>
      <c r="B33" s="8" t="s">
        <v>68</v>
      </c>
      <c r="C33" s="7" t="s">
        <v>32</v>
      </c>
      <c r="D33" s="9">
        <v>1035.0</v>
      </c>
      <c r="E33" s="9">
        <v>1035.0</v>
      </c>
      <c r="F33" s="9">
        <v>0.0</v>
      </c>
      <c r="G33" s="9">
        <v>0.0</v>
      </c>
      <c r="H33" s="9">
        <v>0.0</v>
      </c>
      <c r="I33" s="9">
        <v>1035.0</v>
      </c>
      <c r="J33" s="10" t="s">
        <v>69</v>
      </c>
    </row>
    <row r="34" spans="8:8" ht="23.85">
      <c r="A34" s="7"/>
      <c r="B34" s="8" t="s">
        <v>70</v>
      </c>
      <c r="C34" s="7" t="s">
        <v>32</v>
      </c>
      <c r="D34" s="9">
        <v>1035.0</v>
      </c>
      <c r="E34" s="9">
        <v>1035.0</v>
      </c>
      <c r="F34" s="9">
        <v>0.0</v>
      </c>
      <c r="G34" s="9">
        <v>0.0</v>
      </c>
      <c r="H34" s="9">
        <v>0.0</v>
      </c>
      <c r="I34" s="9">
        <v>1035.0</v>
      </c>
      <c r="J34" s="10" t="s">
        <v>71</v>
      </c>
    </row>
    <row r="35" spans="8:8" ht="15.0">
      <c r="A35" s="7">
        <v>17.0</v>
      </c>
      <c r="B35" s="8" t="s">
        <v>72</v>
      </c>
      <c r="C35" s="7" t="s">
        <v>73</v>
      </c>
      <c r="D35" s="9">
        <v>225.0</v>
      </c>
      <c r="E35" s="9">
        <v>225.0</v>
      </c>
      <c r="F35" s="9">
        <v>0.0</v>
      </c>
      <c r="G35" s="9">
        <v>0.0</v>
      </c>
      <c r="H35" s="9">
        <v>0.0</v>
      </c>
      <c r="I35" s="9">
        <v>225.0</v>
      </c>
      <c r="J35" s="10" t="s">
        <v>74</v>
      </c>
    </row>
    <row r="36" spans="8:8" ht="15.0">
      <c r="A36" s="7"/>
      <c r="B36" s="8" t="s">
        <v>75</v>
      </c>
      <c r="C36" s="7" t="s">
        <v>32</v>
      </c>
      <c r="D36" s="9">
        <v>170.0</v>
      </c>
      <c r="E36" s="13">
        <v>170.0</v>
      </c>
      <c r="F36" s="13">
        <v>0.0</v>
      </c>
      <c r="G36" s="13">
        <v>0.0</v>
      </c>
      <c r="H36" s="13">
        <v>0.0</v>
      </c>
      <c r="I36" s="13">
        <v>170.0</v>
      </c>
      <c r="J36" s="14" t="s">
        <v>104</v>
      </c>
      <c r="K36" s="15"/>
      <c r="L36" s="15"/>
      <c r="M36" s="15"/>
      <c r="N36" s="15"/>
    </row>
    <row r="37" spans="8:8" ht="15.0">
      <c r="A37" s="7"/>
      <c r="B37" s="8" t="s">
        <v>77</v>
      </c>
      <c r="C37" s="7" t="s">
        <v>32</v>
      </c>
      <c r="D37" s="9">
        <v>40.0</v>
      </c>
      <c r="E37" s="9">
        <v>40.0</v>
      </c>
      <c r="F37" s="9">
        <v>0.0</v>
      </c>
      <c r="G37" s="9">
        <v>0.0</v>
      </c>
      <c r="H37" s="9">
        <v>0.0</v>
      </c>
      <c r="I37" s="9">
        <v>40.0</v>
      </c>
      <c r="J37" s="10" t="s">
        <v>78</v>
      </c>
    </row>
    <row r="38" spans="8:8" ht="15.0">
      <c r="A38" s="7"/>
      <c r="B38" s="8" t="s">
        <v>79</v>
      </c>
      <c r="C38" s="7" t="s">
        <v>32</v>
      </c>
      <c r="D38" s="9">
        <v>2500.0</v>
      </c>
      <c r="E38" s="9">
        <v>300.0</v>
      </c>
      <c r="F38" s="9">
        <v>0.0</v>
      </c>
      <c r="G38" s="9">
        <v>2200.0</v>
      </c>
      <c r="H38" s="9">
        <v>1650.0</v>
      </c>
      <c r="I38" s="9">
        <v>1950.0</v>
      </c>
      <c r="J38" s="10" t="s">
        <v>107</v>
      </c>
    </row>
    <row r="39" spans="8:8" ht="15.0">
      <c r="A39" s="7"/>
      <c r="B39" s="8" t="s">
        <v>81</v>
      </c>
      <c r="C39" s="7" t="s">
        <v>32</v>
      </c>
      <c r="D39" s="9">
        <v>400.0</v>
      </c>
      <c r="E39" s="9">
        <v>400.0</v>
      </c>
      <c r="F39" s="9">
        <v>0.0</v>
      </c>
      <c r="G39" s="9">
        <v>0.0</v>
      </c>
      <c r="H39" s="9">
        <v>0.0</v>
      </c>
      <c r="I39" s="9">
        <v>400.0</v>
      </c>
      <c r="J39" s="10" t="s">
        <v>108</v>
      </c>
    </row>
    <row r="40" spans="8:8" ht="15.0">
      <c r="A40" s="7"/>
      <c r="B40" s="8" t="s">
        <v>83</v>
      </c>
      <c r="C40" s="7" t="s">
        <v>32</v>
      </c>
      <c r="D40" s="9">
        <v>300.0</v>
      </c>
      <c r="E40" s="9">
        <v>300.0</v>
      </c>
      <c r="F40" s="9">
        <v>0.0</v>
      </c>
      <c r="G40" s="9">
        <v>0.0</v>
      </c>
      <c r="H40" s="9">
        <v>0.0</v>
      </c>
      <c r="I40" s="9">
        <v>300.0</v>
      </c>
      <c r="J40" s="10" t="s">
        <v>84</v>
      </c>
    </row>
    <row r="41" spans="8:8" ht="15.0">
      <c r="A41" s="7"/>
      <c r="B41" s="8" t="s">
        <v>85</v>
      </c>
      <c r="C41" s="7" t="s">
        <v>32</v>
      </c>
      <c r="D41" s="9">
        <v>700.0</v>
      </c>
      <c r="E41" s="9">
        <v>700.0</v>
      </c>
      <c r="F41" s="9">
        <v>0.0</v>
      </c>
      <c r="G41" s="9">
        <v>0.0</v>
      </c>
      <c r="H41" s="9">
        <v>0.0</v>
      </c>
      <c r="I41" s="9">
        <v>700.0</v>
      </c>
      <c r="J41" s="10" t="s">
        <v>58</v>
      </c>
    </row>
    <row r="42" spans="8:8" ht="23.85">
      <c r="A42" s="7"/>
      <c r="B42" s="8" t="s">
        <v>86</v>
      </c>
      <c r="C42" s="7" t="s">
        <v>32</v>
      </c>
      <c r="D42" s="9">
        <v>-5.0</v>
      </c>
      <c r="E42" s="9"/>
      <c r="F42" s="9"/>
      <c r="G42" s="9"/>
      <c r="H42" s="9"/>
      <c r="I42" s="9"/>
      <c r="J42" s="10" t="s">
        <v>87</v>
      </c>
    </row>
    <row r="43" spans="8:8" ht="15.0">
      <c r="A43" s="7">
        <v>18.0</v>
      </c>
      <c r="B43" s="8" t="s">
        <v>85</v>
      </c>
      <c r="C43" s="7" t="s">
        <v>88</v>
      </c>
      <c r="D43" s="9">
        <v>700.0</v>
      </c>
      <c r="E43" s="9">
        <v>700.0</v>
      </c>
      <c r="F43" s="9">
        <v>0.0</v>
      </c>
      <c r="G43" s="9">
        <v>0.0</v>
      </c>
      <c r="H43" s="9">
        <v>0.0</v>
      </c>
      <c r="I43" s="9">
        <v>700.0</v>
      </c>
      <c r="J43" s="10" t="s">
        <v>58</v>
      </c>
    </row>
    <row r="44" spans="8:8" ht="15.0">
      <c r="A44" s="7">
        <v>19.0</v>
      </c>
      <c r="B44" s="8" t="s">
        <v>89</v>
      </c>
      <c r="C44" s="7" t="s">
        <v>90</v>
      </c>
      <c r="D44" s="9">
        <v>5175.0</v>
      </c>
      <c r="E44" s="13">
        <v>5175.0</v>
      </c>
      <c r="F44" s="13">
        <v>0.0</v>
      </c>
      <c r="G44" s="13">
        <v>0.0</v>
      </c>
      <c r="H44" s="13">
        <v>0.0</v>
      </c>
      <c r="I44" s="13">
        <v>5175.0</v>
      </c>
      <c r="J44" s="14" t="s">
        <v>105</v>
      </c>
    </row>
    <row r="45" spans="8:8" ht="15.0">
      <c r="A45" s="7">
        <v>20.0</v>
      </c>
      <c r="B45" s="8" t="s">
        <v>92</v>
      </c>
      <c r="C45" s="7" t="s">
        <v>93</v>
      </c>
      <c r="D45" s="9">
        <v>300.0</v>
      </c>
      <c r="E45" s="9">
        <v>300.0</v>
      </c>
      <c r="F45" s="9">
        <v>0.0</v>
      </c>
      <c r="G45" s="9">
        <v>0.0</v>
      </c>
      <c r="H45" s="9">
        <v>0.0</v>
      </c>
      <c r="I45" s="9">
        <v>300.0</v>
      </c>
      <c r="J45" s="10" t="s">
        <v>94</v>
      </c>
    </row>
    <row r="46" spans="8:8" ht="15.0">
      <c r="A46" s="7"/>
      <c r="B46" s="8" t="s">
        <v>83</v>
      </c>
      <c r="C46" s="7" t="s">
        <v>32</v>
      </c>
      <c r="D46" s="9">
        <v>300.0</v>
      </c>
      <c r="E46" s="9">
        <v>300.0</v>
      </c>
      <c r="F46" s="9">
        <v>0.0</v>
      </c>
      <c r="G46" s="9">
        <v>0.0</v>
      </c>
      <c r="H46" s="9">
        <v>0.0</v>
      </c>
      <c r="I46" s="9">
        <v>300.0</v>
      </c>
      <c r="J46" s="10" t="s">
        <v>84</v>
      </c>
    </row>
    <row r="47" spans="8:8" ht="15.0">
      <c r="A47" s="7">
        <v>21.0</v>
      </c>
      <c r="B47" s="8" t="s">
        <v>59</v>
      </c>
      <c r="C47" s="7" t="s">
        <v>95</v>
      </c>
      <c r="D47" s="9">
        <v>150.0</v>
      </c>
      <c r="E47" s="9">
        <v>150.0</v>
      </c>
      <c r="F47" s="9">
        <v>0.0</v>
      </c>
      <c r="G47" s="9">
        <v>0.0</v>
      </c>
      <c r="H47" s="9">
        <v>0.0</v>
      </c>
      <c r="I47" s="9">
        <v>150.0</v>
      </c>
      <c r="J47" s="10" t="s">
        <v>61</v>
      </c>
    </row>
    <row r="48" spans="8:8" ht="15.0">
      <c r="A48" s="7">
        <v>22.0</v>
      </c>
      <c r="B48" s="8" t="s">
        <v>96</v>
      </c>
      <c r="C48" s="7" t="s">
        <v>97</v>
      </c>
      <c r="D48" s="9">
        <v>50.0</v>
      </c>
      <c r="E48" s="9">
        <v>50.0</v>
      </c>
      <c r="F48" s="9">
        <v>0.0</v>
      </c>
      <c r="G48" s="9">
        <v>0.0</v>
      </c>
      <c r="H48" s="9">
        <v>0.0</v>
      </c>
      <c r="I48" s="9">
        <v>50.0</v>
      </c>
      <c r="J48" s="10" t="s">
        <v>98</v>
      </c>
    </row>
    <row r="49" spans="8:8" ht="15.0">
      <c r="A49" s="7"/>
      <c r="B49" s="8" t="s">
        <v>92</v>
      </c>
      <c r="C49" s="7" t="s">
        <v>32</v>
      </c>
      <c r="D49" s="9">
        <v>300.0</v>
      </c>
      <c r="E49" s="9">
        <v>300.0</v>
      </c>
      <c r="F49" s="9">
        <v>0.0</v>
      </c>
      <c r="G49" s="9">
        <v>0.0</v>
      </c>
      <c r="H49" s="9">
        <v>0.0</v>
      </c>
      <c r="I49" s="9">
        <v>300.0</v>
      </c>
      <c r="J49" s="10" t="s">
        <v>94</v>
      </c>
    </row>
    <row r="50" spans="8:8" ht="15.0">
      <c r="A50" s="7"/>
      <c r="B50" s="8" t="s">
        <v>99</v>
      </c>
      <c r="C50" s="7" t="s">
        <v>32</v>
      </c>
      <c r="D50" s="9">
        <v>700.0</v>
      </c>
      <c r="E50" s="13">
        <v>700.0</v>
      </c>
      <c r="F50" s="13">
        <v>0.0</v>
      </c>
      <c r="G50" s="13">
        <v>0.0</v>
      </c>
      <c r="H50" s="13">
        <v>0.0</v>
      </c>
      <c r="I50" s="13">
        <v>700.0</v>
      </c>
      <c r="J50" s="14"/>
      <c r="K50" s="15"/>
      <c r="L50" s="15"/>
      <c r="M50" s="15"/>
    </row>
    <row r="51" spans="8:8" ht="15.0">
      <c r="A51" s="8"/>
      <c r="B51" s="8"/>
      <c r="C51" s="6" t="s">
        <v>101</v>
      </c>
      <c r="D51" s="16">
        <f>SUM(D13:D50)</f>
        <v>87115.0</v>
      </c>
      <c r="E51" s="16">
        <f>SUM(E13:E50)</f>
        <v>85630.0</v>
      </c>
      <c r="F51" s="16">
        <f>SUM(F13:F50)</f>
        <v>470.0</v>
      </c>
      <c r="G51" s="16">
        <f>SUM(G13:G50)</f>
        <v>2200.0</v>
      </c>
      <c r="H51" s="16">
        <f>SUM(H13:H50)</f>
        <v>1650.0</v>
      </c>
      <c r="I51" s="16">
        <f>SUM(I13:I50)</f>
        <v>86100.0</v>
      </c>
      <c r="J51" s="8"/>
    </row>
    <row r="53" spans="8:8" ht="15.0">
      <c r="A53" s="17" t="s">
        <v>109</v>
      </c>
      <c r="B53" s="17"/>
      <c r="C53" s="17"/>
      <c r="D53" s="17"/>
      <c r="E53" s="17"/>
      <c r="F53" s="17"/>
      <c r="H53" s="18" t="s">
        <v>103</v>
      </c>
    </row>
  </sheetData>
  <mergeCells count="19">
    <mergeCell ref="A1:J1"/>
    <mergeCell ref="A2:J2"/>
    <mergeCell ref="D3:J3"/>
    <mergeCell ref="D8:J8"/>
    <mergeCell ref="A5:C5"/>
    <mergeCell ref="A7:C7"/>
    <mergeCell ref="D4:J4"/>
    <mergeCell ref="A3:C3"/>
    <mergeCell ref="D5:J5"/>
    <mergeCell ref="A9:C9"/>
    <mergeCell ref="D9:J9"/>
    <mergeCell ref="A6:C6"/>
    <mergeCell ref="D7:J7"/>
    <mergeCell ref="A8:C8"/>
    <mergeCell ref="D10:J10"/>
    <mergeCell ref="A53:F53"/>
    <mergeCell ref="A10:C10"/>
    <mergeCell ref="D6:J6"/>
    <mergeCell ref="A4:C4"/>
  </mergeCells>
  <pageMargins left="0.75" right="0.75" top="1.0" bottom="1.0" header="0.511811023622047" footer="0.511811023622047"/>
  <pageSetup paperSize="9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2026-08-09T01:02:54Z</dcterms:created>
  <dcterms:modified xsi:type="dcterms:W3CDTF">2026-08-09T07:00:36Z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3c282f8686dd4c0e95ab172188ad7dd6</vt:lpwstr>
  </property>
</Properties>
</file>